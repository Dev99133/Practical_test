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om\Desktop\"/>
    </mc:Choice>
  </mc:AlternateContent>
  <bookViews>
    <workbookView xWindow="0" yWindow="0" windowWidth="20490" windowHeight="7755" activeTab="2"/>
  </bookViews>
  <sheets>
    <sheet name="Sheet1" sheetId="1" r:id="rId1"/>
    <sheet name="Pivot" sheetId="3" r:id="rId2"/>
    <sheet name="Sheet2" sheetId="4" r:id="rId3"/>
    <sheet name="Dashboard" sheetId="5" r:id="rId4"/>
    <sheet name="Instruction" sheetId="6" r:id="rId5"/>
  </sheets>
  <definedNames>
    <definedName name="_xlcn.WorksheetConnection_Sheet1A1H16" hidden="1">Sheet1!$A$1:$H$16</definedName>
    <definedName name="Slicer_Category">#N/A</definedName>
    <definedName name="Slicer_Region">#N/A</definedName>
  </definedNames>
  <calcPr calcId="152511"/>
  <pivotCaches>
    <pivotCache cacheId="3" r:id="rId6"/>
    <pivotCache cacheId="4"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1848e771-9867-413f-86d5-2f7783f144c1" name="Range" connection="WorksheetConnection_Sheet1!$A$1:$H$16"/>
        </x15:modelTables>
      </x15:dataModel>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I3" i="1"/>
  <c r="I4" i="1"/>
  <c r="I5" i="1"/>
  <c r="I6" i="1"/>
  <c r="I7" i="1"/>
  <c r="I8" i="1"/>
  <c r="I9" i="1"/>
  <c r="I10" i="1"/>
  <c r="I11" i="1"/>
  <c r="I12" i="1"/>
  <c r="I13" i="1"/>
  <c r="I14" i="1"/>
  <c r="I15" i="1"/>
  <c r="I16" i="1"/>
  <c r="I2" i="1"/>
  <c r="C36"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heet1!$A$1:$H$16" type="102" refreshedVersion="5" minRefreshableVersion="5">
    <extLst>
      <ext xmlns:x15="http://schemas.microsoft.com/office/spreadsheetml/2010/11/main" uri="{DE250136-89BD-433C-8126-D09CA5730AF9}">
        <x15:connection id="Range-1848e771-9867-413f-86d5-2f7783f144c1" autoDelete="1">
          <x15:rangePr sourceName="_xlcn.WorksheetConnection_Sheet1A1H16"/>
        </x15:connection>
      </ext>
    </extLst>
  </connection>
</connections>
</file>

<file path=xl/sharedStrings.xml><?xml version="1.0" encoding="utf-8"?>
<sst xmlns="http://schemas.openxmlformats.org/spreadsheetml/2006/main" count="79" uniqueCount="37">
  <si>
    <t>OrderID</t>
  </si>
  <si>
    <t>Date</t>
  </si>
  <si>
    <t>Region</t>
  </si>
  <si>
    <t>Product</t>
  </si>
  <si>
    <t>Category</t>
  </si>
  <si>
    <t>Sales</t>
  </si>
  <si>
    <t>Quantity</t>
  </si>
  <si>
    <t>Profit</t>
  </si>
  <si>
    <t>West</t>
  </si>
  <si>
    <t>Laptop</t>
  </si>
  <si>
    <t>Technology</t>
  </si>
  <si>
    <t>East</t>
  </si>
  <si>
    <t>Phone</t>
  </si>
  <si>
    <t>North</t>
  </si>
  <si>
    <t>Chair</t>
  </si>
  <si>
    <t>Furniture</t>
  </si>
  <si>
    <t>South</t>
  </si>
  <si>
    <t>Table</t>
  </si>
  <si>
    <t>Headphones</t>
  </si>
  <si>
    <t>Sofa</t>
  </si>
  <si>
    <t>Monitor</t>
  </si>
  <si>
    <t>Keyboard</t>
  </si>
  <si>
    <t>Mouse</t>
  </si>
  <si>
    <t>Bed</t>
  </si>
  <si>
    <t>Tablet</t>
  </si>
  <si>
    <t>Row Labels</t>
  </si>
  <si>
    <t>Grand Total</t>
  </si>
  <si>
    <t>Sum of Sales</t>
  </si>
  <si>
    <t>Sum of Profit</t>
  </si>
  <si>
    <t>Profit%</t>
  </si>
  <si>
    <t>Performance</t>
  </si>
  <si>
    <t>Target</t>
  </si>
  <si>
    <t>1. Dataset: Sales Data (Technology &amp; Furniture)</t>
  </si>
  <si>
    <t>2. Cleaned missing/duplicates</t>
  </si>
  <si>
    <t>3. Used Pivot Tables for analysis</t>
  </si>
  <si>
    <t>4. Applied formulas: IF, VLOOKUP</t>
  </si>
  <si>
    <t>5. Created Dashboard with slicers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</si>
</sst>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[Dev10709Practical.xlsx]Pivot!PivotTable2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4502537182852143"/>
          <c:y val="0.24939596092155147"/>
          <c:w val="0.73578937007874012"/>
          <c:h val="0.53774387576552929"/>
        </c:manualLayout>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East</c:v>
                </c:pt>
                <c:pt idx="1">
                  <c:v>North</c:v>
                </c:pt>
                <c:pt idx="2">
                  <c:v>South</c:v>
                </c:pt>
                <c:pt idx="3">
                  <c:v>West</c:v>
                </c:pt>
              </c:strCache>
            </c:strRef>
          </c:cat>
          <c:val>
            <c:numRef>
              <c:f>Pivot!$B$4:$B$8</c:f>
              <c:numCache>
                <c:formatCode>General</c:formatCode>
                <c:ptCount val="4"/>
                <c:pt idx="0">
                  <c:v>58000</c:v>
                </c:pt>
                <c:pt idx="1">
                  <c:v>35000</c:v>
                </c:pt>
                <c:pt idx="2">
                  <c:v>3000</c:v>
                </c:pt>
                <c:pt idx="3">
                  <c:v>122000</c:v>
                </c:pt>
              </c:numCache>
            </c:numRef>
          </c:val>
        </c:ser>
        <c:dLbls>
          <c:showLegendKey val="0"/>
          <c:showVal val="0"/>
          <c:showCatName val="0"/>
          <c:showSerName val="0"/>
          <c:showPercent val="0"/>
          <c:showBubbleSize val="0"/>
        </c:dLbls>
        <c:gapWidth val="219"/>
        <c:overlap val="-27"/>
        <c:axId val="331405936"/>
        <c:axId val="331410248"/>
      </c:barChart>
      <c:catAx>
        <c:axId val="33140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10248"/>
        <c:crosses val="autoZero"/>
        <c:auto val="1"/>
        <c:lblAlgn val="ctr"/>
        <c:lblOffset val="100"/>
        <c:noMultiLvlLbl val="0"/>
      </c:catAx>
      <c:valAx>
        <c:axId val="331410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05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[Dev10709Practical.xlsx]Sheet2!PivotTable3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Sheet2!$A$4:$A$6</c:f>
              <c:strCache>
                <c:ptCount val="2"/>
                <c:pt idx="0">
                  <c:v>Furniture</c:v>
                </c:pt>
                <c:pt idx="1">
                  <c:v>Technology</c:v>
                </c:pt>
              </c:strCache>
            </c:strRef>
          </c:cat>
          <c:val>
            <c:numRef>
              <c:f>Sheet2!$B$4:$B$6</c:f>
              <c:numCache>
                <c:formatCode>General</c:formatCode>
                <c:ptCount val="2"/>
                <c:pt idx="0">
                  <c:v>16000</c:v>
                </c:pt>
                <c:pt idx="1">
                  <c:v>34900</c:v>
                </c:pt>
              </c:numCache>
            </c:numRef>
          </c:val>
        </c:ser>
        <c:dLbls>
          <c:showLegendKey val="0"/>
          <c:showVal val="0"/>
          <c:showCatName val="0"/>
          <c:showSerName val="0"/>
          <c:showPercent val="0"/>
          <c:showBubbleSize val="0"/>
        </c:dLbls>
        <c:gapWidth val="219"/>
        <c:overlap val="-27"/>
        <c:axId val="331406328"/>
        <c:axId val="331404368"/>
      </c:barChart>
      <c:catAx>
        <c:axId val="331406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04368"/>
        <c:crosses val="autoZero"/>
        <c:auto val="1"/>
        <c:lblAlgn val="ctr"/>
        <c:lblOffset val="100"/>
        <c:noMultiLvlLbl val="0"/>
      </c:catAx>
      <c:valAx>
        <c:axId val="33140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063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[Dev10709Practical.xlsx]Sheet2!PivotTable4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Sheet2!$B$8</c:f>
              <c:strCache>
                <c:ptCount val="1"/>
                <c:pt idx="0">
                  <c:v>Total</c:v>
                </c:pt>
              </c:strCache>
            </c:strRef>
          </c:tx>
          <c:spPr>
            <a:ln w="28575" cap="rnd">
              <a:solidFill>
                <a:schemeClr val="accent1"/>
              </a:solidFill>
              <a:round/>
            </a:ln>
            <a:effectLst/>
          </c:spPr>
          <c:marker>
            <c:symbol val="none"/>
          </c:marker>
          <c:cat>
            <c:strRef>
              <c:f>Sheet2!$A$9:$A$24</c:f>
              <c:strCache>
                <c:ptCount val="15"/>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strCache>
            </c:strRef>
          </c:cat>
          <c:val>
            <c:numRef>
              <c:f>Sheet2!$B$9:$B$24</c:f>
              <c:numCache>
                <c:formatCode>General</c:formatCode>
                <c:ptCount val="15"/>
                <c:pt idx="0">
                  <c:v>55000</c:v>
                </c:pt>
                <c:pt idx="1">
                  <c:v>30000</c:v>
                </c:pt>
                <c:pt idx="2">
                  <c:v>8000</c:v>
                </c:pt>
                <c:pt idx="3">
                  <c:v>12000</c:v>
                </c:pt>
                <c:pt idx="4">
                  <c:v>5000</c:v>
                </c:pt>
                <c:pt idx="5">
                  <c:v>25000</c:v>
                </c:pt>
                <c:pt idx="6">
                  <c:v>15000</c:v>
                </c:pt>
                <c:pt idx="7">
                  <c:v>3000</c:v>
                </c:pt>
                <c:pt idx="8">
                  <c:v>2000</c:v>
                </c:pt>
                <c:pt idx="9">
                  <c:v>30000</c:v>
                </c:pt>
                <c:pt idx="10">
                  <c:v>20000</c:v>
                </c:pt>
                <c:pt idx="11">
                  <c:v>7000</c:v>
                </c:pt>
                <c:pt idx="12">
                  <c:v>60000</c:v>
                </c:pt>
                <c:pt idx="13">
                  <c:v>28000</c:v>
                </c:pt>
                <c:pt idx="14">
                  <c:v>11000</c:v>
                </c:pt>
              </c:numCache>
            </c:numRef>
          </c:val>
          <c:smooth val="0"/>
        </c:ser>
        <c:dLbls>
          <c:showLegendKey val="0"/>
          <c:showVal val="0"/>
          <c:showCatName val="0"/>
          <c:showSerName val="0"/>
          <c:showPercent val="0"/>
          <c:showBubbleSize val="0"/>
        </c:dLbls>
        <c:smooth val="0"/>
        <c:axId val="331409464"/>
        <c:axId val="331408288"/>
      </c:lineChart>
      <c:catAx>
        <c:axId val="331409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08288"/>
        <c:crosses val="autoZero"/>
        <c:auto val="1"/>
        <c:lblAlgn val="ctr"/>
        <c:lblOffset val="100"/>
        <c:noMultiLvlLbl val="0"/>
      </c:catAx>
      <c:valAx>
        <c:axId val="33140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09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[Dev10709Practical.xlsx]Sheet2!PivotTable3</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7561114595188876"/>
          <c:y val="0.36576514352513939"/>
          <c:w val="0.6438315564536734"/>
          <c:h val="0.23707894709926461"/>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Sheet2!$A$4:$A$6</c:f>
              <c:strCache>
                <c:ptCount val="2"/>
                <c:pt idx="0">
                  <c:v>Furniture</c:v>
                </c:pt>
                <c:pt idx="1">
                  <c:v>Technology</c:v>
                </c:pt>
              </c:strCache>
            </c:strRef>
          </c:cat>
          <c:val>
            <c:numRef>
              <c:f>Sheet2!$B$4:$B$6</c:f>
              <c:numCache>
                <c:formatCode>General</c:formatCode>
                <c:ptCount val="2"/>
                <c:pt idx="0">
                  <c:v>16000</c:v>
                </c:pt>
                <c:pt idx="1">
                  <c:v>34900</c:v>
                </c:pt>
              </c:numCache>
            </c:numRef>
          </c:val>
        </c:ser>
        <c:dLbls>
          <c:showLegendKey val="0"/>
          <c:showVal val="0"/>
          <c:showCatName val="0"/>
          <c:showSerName val="0"/>
          <c:showPercent val="0"/>
          <c:showBubbleSize val="0"/>
        </c:dLbls>
        <c:gapWidth val="219"/>
        <c:overlap val="-27"/>
        <c:axId val="331407504"/>
        <c:axId val="331407896"/>
      </c:barChart>
      <c:catAx>
        <c:axId val="33140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07896"/>
        <c:crosses val="autoZero"/>
        <c:auto val="1"/>
        <c:lblAlgn val="ctr"/>
        <c:lblOffset val="100"/>
        <c:noMultiLvlLbl val="0"/>
      </c:catAx>
      <c:valAx>
        <c:axId val="331407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07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[Dev10709Practical.xlsx]Pivot!PivotTable2</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4502537182852143"/>
          <c:y val="0.24939596092155147"/>
          <c:w val="0.73578937007874012"/>
          <c:h val="0.53774387576552929"/>
        </c:manualLayout>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East</c:v>
                </c:pt>
                <c:pt idx="1">
                  <c:v>North</c:v>
                </c:pt>
                <c:pt idx="2">
                  <c:v>South</c:v>
                </c:pt>
                <c:pt idx="3">
                  <c:v>West</c:v>
                </c:pt>
              </c:strCache>
            </c:strRef>
          </c:cat>
          <c:val>
            <c:numRef>
              <c:f>Pivot!$B$4:$B$8</c:f>
              <c:numCache>
                <c:formatCode>General</c:formatCode>
                <c:ptCount val="4"/>
                <c:pt idx="0">
                  <c:v>58000</c:v>
                </c:pt>
                <c:pt idx="1">
                  <c:v>35000</c:v>
                </c:pt>
                <c:pt idx="2">
                  <c:v>3000</c:v>
                </c:pt>
                <c:pt idx="3">
                  <c:v>122000</c:v>
                </c:pt>
              </c:numCache>
            </c:numRef>
          </c:val>
        </c:ser>
        <c:dLbls>
          <c:showLegendKey val="0"/>
          <c:showVal val="0"/>
          <c:showCatName val="0"/>
          <c:showSerName val="0"/>
          <c:showPercent val="0"/>
          <c:showBubbleSize val="0"/>
        </c:dLbls>
        <c:gapWidth val="219"/>
        <c:overlap val="-27"/>
        <c:axId val="279631592"/>
        <c:axId val="279631984"/>
      </c:barChart>
      <c:catAx>
        <c:axId val="279631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31984"/>
        <c:crosses val="autoZero"/>
        <c:auto val="1"/>
        <c:lblAlgn val="ctr"/>
        <c:lblOffset val="100"/>
        <c:noMultiLvlLbl val="0"/>
      </c:catAx>
      <c:valAx>
        <c:axId val="27963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31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[Dev10709Practical.xlsx]Sheet2!PivotTable4</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Sheet2!$B$8</c:f>
              <c:strCache>
                <c:ptCount val="1"/>
                <c:pt idx="0">
                  <c:v>Total</c:v>
                </c:pt>
              </c:strCache>
            </c:strRef>
          </c:tx>
          <c:spPr>
            <a:ln w="28575" cap="rnd">
              <a:solidFill>
                <a:schemeClr val="accent1"/>
              </a:solidFill>
              <a:round/>
            </a:ln>
            <a:effectLst/>
          </c:spPr>
          <c:marker>
            <c:symbol val="none"/>
          </c:marker>
          <c:cat>
            <c:strRef>
              <c:f>Sheet2!$A$9:$A$24</c:f>
              <c:strCache>
                <c:ptCount val="15"/>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strCache>
            </c:strRef>
          </c:cat>
          <c:val>
            <c:numRef>
              <c:f>Sheet2!$B$9:$B$24</c:f>
              <c:numCache>
                <c:formatCode>General</c:formatCode>
                <c:ptCount val="15"/>
                <c:pt idx="0">
                  <c:v>55000</c:v>
                </c:pt>
                <c:pt idx="1">
                  <c:v>30000</c:v>
                </c:pt>
                <c:pt idx="2">
                  <c:v>8000</c:v>
                </c:pt>
                <c:pt idx="3">
                  <c:v>12000</c:v>
                </c:pt>
                <c:pt idx="4">
                  <c:v>5000</c:v>
                </c:pt>
                <c:pt idx="5">
                  <c:v>25000</c:v>
                </c:pt>
                <c:pt idx="6">
                  <c:v>15000</c:v>
                </c:pt>
                <c:pt idx="7">
                  <c:v>3000</c:v>
                </c:pt>
                <c:pt idx="8">
                  <c:v>2000</c:v>
                </c:pt>
                <c:pt idx="9">
                  <c:v>30000</c:v>
                </c:pt>
                <c:pt idx="10">
                  <c:v>20000</c:v>
                </c:pt>
                <c:pt idx="11">
                  <c:v>7000</c:v>
                </c:pt>
                <c:pt idx="12">
                  <c:v>60000</c:v>
                </c:pt>
                <c:pt idx="13">
                  <c:v>28000</c:v>
                </c:pt>
                <c:pt idx="14">
                  <c:v>11000</c:v>
                </c:pt>
              </c:numCache>
            </c:numRef>
          </c:val>
          <c:smooth val="0"/>
        </c:ser>
        <c:dLbls>
          <c:showLegendKey val="0"/>
          <c:showVal val="0"/>
          <c:showCatName val="0"/>
          <c:showSerName val="0"/>
          <c:showPercent val="0"/>
          <c:showBubbleSize val="0"/>
        </c:dLbls>
        <c:smooth val="0"/>
        <c:axId val="333413152"/>
        <c:axId val="333418248"/>
      </c:lineChart>
      <c:catAx>
        <c:axId val="33341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418248"/>
        <c:crosses val="autoZero"/>
        <c:auto val="1"/>
        <c:lblAlgn val="ctr"/>
        <c:lblOffset val="100"/>
        <c:noMultiLvlLbl val="0"/>
      </c:catAx>
      <c:valAx>
        <c:axId val="333418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413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581025</xdr:colOff>
      <xdr:row>5</xdr:row>
      <xdr:rowOff>4762</xdr:rowOff>
    </xdr:from>
    <xdr:to>
      <xdr:col>11</xdr:col>
      <xdr:colOff>276225</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0</xdr:row>
      <xdr:rowOff>185737</xdr:rowOff>
    </xdr:from>
    <xdr:to>
      <xdr:col>9</xdr:col>
      <xdr:colOff>142875</xdr:colOff>
      <xdr:row>9</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581025</xdr:colOff>
      <xdr:row>12</xdr:row>
      <xdr:rowOff>4762</xdr:rowOff>
    </xdr:from>
    <xdr:to>
      <xdr:col>11</xdr:col>
      <xdr:colOff>276225</xdr:colOff>
      <xdr:row>26</xdr:row>
      <xdr:rowOff>80962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428625</xdr:colOff>
      <xdr:row>1</xdr:row>
      <xdr:rowOff>161925</xdr:rowOff>
    </xdr:from>
    <xdr:to>
      <xdr:col>15</xdr:col>
      <xdr:colOff>0</xdr:colOff>
      <xdr:row>10</xdr:row>
      <xdr:rowOff>109538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276225</xdr:colOff>
      <xdr:row>0</xdr:row>
      <xdr:rowOff>85725</xdr:rowOff>
    </xdr:from>
    <xdr:to>
      <xdr:col>7</xdr:col>
      <xdr:colOff>581025</xdr:colOff>
      <xdr:row>14</xdr:row>
      <xdr:rowOff>161925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19</xdr:row>
      <xdr:rowOff>0</xdr:rowOff>
    </xdr:from>
    <xdr:to>
      <xdr:col>13</xdr:col>
      <xdr:colOff>304800</xdr:colOff>
      <xdr:row>33</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352425</xdr:colOff>
      <xdr:row>15</xdr:row>
      <xdr:rowOff>133350</xdr:rowOff>
    </xdr:from>
    <xdr:to>
      <xdr:col>3</xdr:col>
      <xdr:colOff>352425</xdr:colOff>
      <xdr:row>28</xdr:row>
      <xdr:rowOff>180975</xdr:rowOff>
    </xdr:to>
    <mc:AlternateContent xmlns:mc="http://schemas.openxmlformats.org/markup-compatibility/2006" xmlns:a14="http://schemas.microsoft.com/office/drawing/2010/main">
      <mc:Choice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2425" y="2990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323850</xdr:colOff>
      <xdr:row>2</xdr:row>
      <xdr:rowOff>171450</xdr:rowOff>
    </xdr:from>
    <xdr:to>
      <xdr:col>18</xdr:col>
      <xdr:colOff>323850</xdr:colOff>
      <xdr:row>16</xdr:row>
      <xdr:rowOff>28575</xdr:rowOff>
    </xdr:to>
    <mc:AlternateContent xmlns:mc="http://schemas.openxmlformats.org/markup-compatibility/2006" xmlns:a14="http://schemas.microsoft.com/office/drawing/2010/main">
      <mc:Choice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467850" y="552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om" refreshedDate="46121.767849074073" createdVersion="5" refreshedVersion="5" minRefreshableVersion="3" recordCount="15">
  <cacheSource type="worksheet">
    <worksheetSource ref="A1:H16" sheet="Sheet1"/>
  </cacheSource>
  <cacheFields count="8">
    <cacheField name="OrderID" numFmtId="0">
      <sharedItems containsSemiMixedTypes="0" containsString="0" containsNumber="1" containsInteger="1" minValue="1001" maxValue="1015"/>
    </cacheField>
    <cacheField name="Date" numFmtId="14">
      <sharedItems containsSemiMixedTypes="0" containsNonDate="0" containsDate="1" containsString="0" minDate="2024-01-01T00:00:00" maxDate="2024-01-16T00:00:00" count="15">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sharedItems>
    </cacheField>
    <cacheField name="Region" numFmtId="0">
      <sharedItems/>
    </cacheField>
    <cacheField name="Product" numFmtId="0">
      <sharedItems/>
    </cacheField>
    <cacheField name="Category" numFmtId="0">
      <sharedItems count="2">
        <s v="Technology"/>
        <s v="Furniture"/>
      </sharedItems>
    </cacheField>
    <cacheField name="Sales" numFmtId="0">
      <sharedItems containsSemiMixedTypes="0" containsString="0" containsNumber="1" containsInteger="1" minValue="2000" maxValue="60000"/>
    </cacheField>
    <cacheField name="Quantity" numFmtId="0">
      <sharedItems containsSemiMixedTypes="0" containsString="0" containsNumber="1" containsInteger="1" minValue="1" maxValue="8"/>
    </cacheField>
    <cacheField name="Profit" numFmtId="0">
      <sharedItems containsSemiMixedTypes="0" containsString="0" containsNumber="1" containsInteger="1" minValue="400" maxValue="9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om" refreshedDate="46121.809251041668" backgroundQuery="1" createdVersion="5" refreshedVersion="5" minRefreshableVersion="3" recordCount="0" supportSubquery="1" supportAdvancedDrill="1">
  <cacheSource type="external" connectionId="1"/>
  <cacheFields count="3">
    <cacheField name="[Range].[Region].[Region]" caption="Region" numFmtId="0" hierarchy="2" level="1">
      <sharedItems count="4">
        <s v="East"/>
        <s v="North"/>
        <s v="South"/>
        <s v="West"/>
      </sharedItems>
    </cacheField>
    <cacheField name="[Measures].[Sum of Sales]" caption="Sum of Sales" numFmtId="0" hierarchy="9" level="32767"/>
    <cacheField name="[Range].[Category].[Category]" caption="Category" numFmtId="0" hierarchy="4" level="1">
      <sharedItems containsSemiMixedTypes="0" containsNonDate="0" containsString="0"/>
    </cacheField>
  </cacheFields>
  <cacheHierarchies count="12">
    <cacheHierarchy uniqueName="[Range].[OrderID]" caption="OrderID" attribute="1" defaultMemberUniqueName="[Range].[OrderID].[All]" allUniqueName="[Range].[OrderID].[All]" dimensionUniqueName="[Range]" displayFolder="" count="2" memberValueDatatype="20" unbalanced="0"/>
    <cacheHierarchy uniqueName="[Range].[Date]" caption="Date" attribute="1" time="1" defaultMemberUniqueName="[Range].[Date].[All]" allUniqueName="[Range].[Date].[All]" dimensionUniqueName="[Range]" displayFolder="" count="2"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ales]" caption="Sales" attribute="1" defaultMemberUniqueName="[Range].[Sales].[All]" allUniqueName="[Range].[Sales].[All]" dimensionUniqueName="[Range]" displayFolder="" count="2" memberValueDatatype="20" unbalanced="0"/>
    <cacheHierarchy uniqueName="[Range].[Quantity]" caption="Quantity" attribute="1" defaultMemberUniqueName="[Range].[Quantity].[All]" allUniqueName="[Range].[Quantity].[All]" dimensionUniqueName="[Range]" displayFolder="" count="2" memberValueDatatype="20" unbalanced="0"/>
    <cacheHierarchy uniqueName="[Range].[Profit]" caption="Profit" attribute="1" defaultMemberUniqueName="[Range].[Profit].[All]" allUniqueName="[Range].[Profit].[All]" dimensionUniqueName="[Range]" displayFolder="" count="2" memberValueDatatype="20" unbalanced="0"/>
    <cacheHierarchy uniqueName="[Measures].[Count of Region]" caption="Count of Region" measure="1" displayFolder="" measureGroup="Range" count="0">
      <extLst>
        <ext xmlns:x15="http://schemas.microsoft.com/office/spreadsheetml/2010/11/main" uri="{B97F6D7D-B522-45F9-BDA1-12C45D357490}">
          <x15:cacheHierarchy aggregatedColumn="2"/>
        </ext>
      </extLst>
    </cacheHierarchy>
    <cacheHierarchy uniqueName="[Measures].[Sum of Sales]" caption="Sum of Sales" measure="1" displayFolder="" measureGroup="Range" count="0" oneField="1">
      <fieldsUsage count="1">
        <fieldUsage x="1"/>
      </fieldsUsage>
      <extLst>
        <ext xmlns:x15="http://schemas.microsoft.com/office/spreadsheetml/2010/11/main" uri="{B97F6D7D-B522-45F9-BDA1-12C45D357490}">
          <x15:cacheHierarchy aggregatedColumn="5"/>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om" refreshedDate="46121.806533449075"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2">
    <cacheHierarchy uniqueName="[Range].[OrderID]" caption="OrderID" attribute="1" defaultMemberUniqueName="[Range].[OrderID].[All]" allUniqueName="[Range].[OrderID].[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ales]" caption="Sales" attribute="1" defaultMemberUniqueName="[Range].[Sales].[All]" allUniqueName="[Range].[Sales].[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Measures].[Count of Region]" caption="Count of Region" measure="1" displayFolder="" measureGroup="Range" count="0">
      <extLst>
        <ext xmlns:x15="http://schemas.microsoft.com/office/spreadsheetml/2010/11/main" uri="{B97F6D7D-B522-45F9-BDA1-12C45D357490}">
          <x15:cacheHierarchy aggregatedColumn="2"/>
        </ext>
      </extLst>
    </cacheHierarchy>
    <cacheHierarchy uniqueName="[Measures].[Sum of Sales]" caption="Sum of Sales" measure="1" displayFolder="" measureGroup="Range" count="0">
      <extLst>
        <ext xmlns:x15="http://schemas.microsoft.com/office/spreadsheetml/2010/11/main" uri="{B97F6D7D-B522-45F9-BDA1-12C45D357490}">
          <x15:cacheHierarchy aggregatedColumn="5"/>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15">
  <r>
    <n v="1001"/>
    <x v="0"/>
    <s v="West"/>
    <s v="Laptop"/>
    <x v="0"/>
    <n v="55000"/>
    <n v="2"/>
    <n v="8000"/>
  </r>
  <r>
    <n v="1002"/>
    <x v="1"/>
    <s v="East"/>
    <s v="Phone"/>
    <x v="0"/>
    <n v="30000"/>
    <n v="3"/>
    <n v="5000"/>
  </r>
  <r>
    <n v="1003"/>
    <x v="2"/>
    <s v="North"/>
    <s v="Chair"/>
    <x v="1"/>
    <n v="8000"/>
    <n v="4"/>
    <n v="1200"/>
  </r>
  <r>
    <n v="1004"/>
    <x v="3"/>
    <s v="South"/>
    <s v="Table"/>
    <x v="1"/>
    <n v="12000"/>
    <n v="2"/>
    <n v="2000"/>
  </r>
  <r>
    <n v="1005"/>
    <x v="4"/>
    <s v="West"/>
    <s v="Headphones"/>
    <x v="0"/>
    <n v="5000"/>
    <n v="5"/>
    <n v="1000"/>
  </r>
  <r>
    <n v="1006"/>
    <x v="5"/>
    <s v="East"/>
    <s v="Sofa"/>
    <x v="1"/>
    <n v="25000"/>
    <n v="1"/>
    <n v="4000"/>
  </r>
  <r>
    <n v="1007"/>
    <x v="6"/>
    <s v="North"/>
    <s v="Monitor"/>
    <x v="0"/>
    <n v="15000"/>
    <n v="2"/>
    <n v="3000"/>
  </r>
  <r>
    <n v="1008"/>
    <x v="7"/>
    <s v="South"/>
    <s v="Keyboard"/>
    <x v="0"/>
    <n v="3000"/>
    <n v="6"/>
    <n v="500"/>
  </r>
  <r>
    <n v="1009"/>
    <x v="8"/>
    <s v="West"/>
    <s v="Mouse"/>
    <x v="0"/>
    <n v="2000"/>
    <n v="8"/>
    <n v="400"/>
  </r>
  <r>
    <n v="1010"/>
    <x v="9"/>
    <s v="East"/>
    <s v="Bed"/>
    <x v="1"/>
    <n v="30000"/>
    <n v="1"/>
    <n v="6000"/>
  </r>
  <r>
    <n v="1011"/>
    <x v="10"/>
    <s v="North"/>
    <s v="Tablet"/>
    <x v="0"/>
    <n v="20000"/>
    <n v="2"/>
    <n v="3500"/>
  </r>
  <r>
    <n v="1012"/>
    <x v="11"/>
    <s v="South"/>
    <s v="Chair"/>
    <x v="1"/>
    <n v="7000"/>
    <n v="3"/>
    <n v="1000"/>
  </r>
  <r>
    <n v="1013"/>
    <x v="12"/>
    <s v="West"/>
    <s v="Laptop"/>
    <x v="0"/>
    <n v="60000"/>
    <n v="2"/>
    <n v="9000"/>
  </r>
  <r>
    <n v="1014"/>
    <x v="13"/>
    <s v="East"/>
    <s v="Phone"/>
    <x v="0"/>
    <n v="28000"/>
    <n v="3"/>
    <n v="4500"/>
  </r>
  <r>
    <n v="1015"/>
    <x v="14"/>
    <s v="North"/>
    <s v="Table"/>
    <x v="1"/>
    <n v="11000"/>
    <n v="2"/>
    <n v="1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8"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2">
    <pivotHierarchy dragToData="1"/>
    <pivotHierarchy dragToData="1"/>
    <pivotHierarchy multipleItemSelectionAllowed="1" dragToData="1"/>
    <pivotHierarchy dragToData="1"/>
    <pivotHierarchy multipleItemSelectionAllowed="1" dragToData="1">
      <members count="1" level="1">
        <member name="[Range].[Category].&amp;[Technolog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16">
        <x15:activeTabTopLevelEntity name="[Range]"/>
      </x15:pivotTableUISettings>
    </ext>
  </extLst>
</pivotTableDefinition>
</file>

<file path=xl/pivotTables/pivotTable2.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8:B24" firstHeaderRow="1" firstDataRow="1" firstDataCol="1"/>
  <pivotFields count="8">
    <pivotField showAll="0"/>
    <pivotField axis="axisRow" numFmtId="14" showAll="0">
      <items count="16">
        <item x="0"/>
        <item x="1"/>
        <item x="2"/>
        <item x="3"/>
        <item x="4"/>
        <item x="5"/>
        <item x="6"/>
        <item x="7"/>
        <item x="8"/>
        <item x="9"/>
        <item x="10"/>
        <item x="11"/>
        <item x="12"/>
        <item x="13"/>
        <item x="14"/>
        <item t="default"/>
      </items>
    </pivotField>
    <pivotField showAll="0"/>
    <pivotField showAll="0"/>
    <pivotField showAll="0"/>
    <pivotField dataField="1"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6" firstHeaderRow="1" firstDataRow="1" firstDataCol="1"/>
  <pivotFields count="8">
    <pivotField showAll="0"/>
    <pivotField numFmtId="14" showAll="0"/>
    <pivotField showAll="0"/>
    <pivotField showAll="0"/>
    <pivotField axis="axisRow" showAll="0">
      <items count="3">
        <item x="1"/>
        <item x="0"/>
        <item t="default"/>
      </items>
    </pivotField>
    <pivotField showAll="0"/>
    <pivotField showAll="0"/>
    <pivotField dataField="1" showAll="0"/>
  </pivotFields>
  <rowFields count="1">
    <field x="4"/>
  </rowFields>
  <rowItems count="3">
    <i>
      <x/>
    </i>
    <i>
      <x v="1"/>
    </i>
    <i t="grand">
      <x/>
    </i>
  </rowItems>
  <colItems count="1">
    <i/>
  </colItems>
  <dataFields count="1">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ange].[Region]">
  <pivotTables>
    <pivotTable tabId="3" name="PivotTable2"/>
  </pivotTables>
  <data>
    <olap pivotCacheId="1">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Range].[Category]">
  <pivotTables>
    <pivotTable tabId="3" name="PivotTable2"/>
  </pivotTables>
  <data>
    <olap pivotCacheId="1">
      <levels count="2">
        <level uniqueName="[Range].[Category].[(All)]" sourceCaption="(All)" count="0"/>
        <level uniqueName="[Range].[Category].[Category]" sourceCaption="Category" count="2">
          <ranges>
            <range startItem="0">
              <i n="[Range].[Category].&amp;[Furniture]" c="Furniture"/>
              <i n="[Range].[Category].&amp;[Technology]" c="Technology"/>
            </range>
          </ranges>
        </level>
      </levels>
      <selections count="1">
        <selection n="[Range].[Category].&amp;[Technolog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level="1" rowHeight="241300"/>
  <slicer name="Category" cache="Slicer_Category" caption="Categor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selection activeCell="N11" sqref="N11"/>
    </sheetView>
  </sheetViews>
  <sheetFormatPr defaultRowHeight="15" x14ac:dyDescent="0.25"/>
  <cols>
    <col min="2" max="2" width="12.85546875" customWidth="1"/>
    <col min="3" max="3" width="15" customWidth="1"/>
    <col min="10" max="10" width="13.5703125" customWidth="1"/>
    <col min="15" max="15" width="14" customWidth="1"/>
  </cols>
  <sheetData>
    <row r="1" spans="1:10" x14ac:dyDescent="0.25">
      <c r="A1" s="1" t="s">
        <v>0</v>
      </c>
      <c r="B1" s="1" t="s">
        <v>1</v>
      </c>
      <c r="C1" s="1" t="s">
        <v>2</v>
      </c>
      <c r="D1" s="1" t="s">
        <v>3</v>
      </c>
      <c r="E1" s="1" t="s">
        <v>4</v>
      </c>
      <c r="F1" s="1" t="s">
        <v>5</v>
      </c>
      <c r="G1" s="1" t="s">
        <v>6</v>
      </c>
      <c r="H1" s="1" t="s">
        <v>7</v>
      </c>
      <c r="I1" s="1" t="s">
        <v>29</v>
      </c>
      <c r="J1" s="1" t="s">
        <v>30</v>
      </c>
    </row>
    <row r="2" spans="1:10" x14ac:dyDescent="0.25">
      <c r="A2" s="2">
        <v>1001</v>
      </c>
      <c r="B2" s="3">
        <v>45292</v>
      </c>
      <c r="C2" s="2" t="s">
        <v>8</v>
      </c>
      <c r="D2" s="2" t="s">
        <v>9</v>
      </c>
      <c r="E2" s="2" t="s">
        <v>10</v>
      </c>
      <c r="F2" s="2">
        <v>55000</v>
      </c>
      <c r="G2" s="2">
        <v>2</v>
      </c>
      <c r="H2" s="2">
        <v>8000</v>
      </c>
      <c r="I2">
        <f>H2/F2</f>
        <v>0.14545454545454545</v>
      </c>
      <c r="J2" s="2" t="str">
        <f>IF(H2&gt;3000,"High","Low")</f>
        <v>High</v>
      </c>
    </row>
    <row r="3" spans="1:10" x14ac:dyDescent="0.25">
      <c r="A3" s="2">
        <v>1002</v>
      </c>
      <c r="B3" s="3">
        <v>45293</v>
      </c>
      <c r="C3" s="2" t="s">
        <v>11</v>
      </c>
      <c r="D3" s="2" t="s">
        <v>12</v>
      </c>
      <c r="E3" s="2" t="s">
        <v>10</v>
      </c>
      <c r="F3" s="2">
        <v>30000</v>
      </c>
      <c r="G3" s="2">
        <v>3</v>
      </c>
      <c r="H3" s="2">
        <v>5000</v>
      </c>
      <c r="I3">
        <f t="shared" ref="I3:I16" si="0">H3/F3</f>
        <v>0.16666666666666666</v>
      </c>
      <c r="J3" s="2" t="str">
        <f t="shared" ref="J3:J16" si="1">IF(H3&gt;3000,"High","Low")</f>
        <v>High</v>
      </c>
    </row>
    <row r="4" spans="1:10" x14ac:dyDescent="0.25">
      <c r="A4" s="2">
        <v>1003</v>
      </c>
      <c r="B4" s="3">
        <v>45294</v>
      </c>
      <c r="C4" s="2" t="s">
        <v>13</v>
      </c>
      <c r="D4" s="2" t="s">
        <v>14</v>
      </c>
      <c r="E4" s="2" t="s">
        <v>15</v>
      </c>
      <c r="F4" s="2">
        <v>8000</v>
      </c>
      <c r="G4" s="2">
        <v>4</v>
      </c>
      <c r="H4" s="2">
        <v>1200</v>
      </c>
      <c r="I4">
        <f t="shared" si="0"/>
        <v>0.15</v>
      </c>
      <c r="J4" s="2" t="str">
        <f t="shared" si="1"/>
        <v>Low</v>
      </c>
    </row>
    <row r="5" spans="1:10" x14ac:dyDescent="0.25">
      <c r="A5" s="2">
        <v>1004</v>
      </c>
      <c r="B5" s="3">
        <v>45295</v>
      </c>
      <c r="C5" s="2" t="s">
        <v>16</v>
      </c>
      <c r="D5" s="2" t="s">
        <v>17</v>
      </c>
      <c r="E5" s="2" t="s">
        <v>15</v>
      </c>
      <c r="F5" s="2">
        <v>12000</v>
      </c>
      <c r="G5" s="2">
        <v>2</v>
      </c>
      <c r="H5" s="2">
        <v>2000</v>
      </c>
      <c r="I5">
        <f t="shared" si="0"/>
        <v>0.16666666666666666</v>
      </c>
      <c r="J5" s="2" t="str">
        <f t="shared" si="1"/>
        <v>Low</v>
      </c>
    </row>
    <row r="6" spans="1:10" x14ac:dyDescent="0.25">
      <c r="A6" s="2">
        <v>1005</v>
      </c>
      <c r="B6" s="3">
        <v>45296</v>
      </c>
      <c r="C6" s="2" t="s">
        <v>8</v>
      </c>
      <c r="D6" s="2" t="s">
        <v>18</v>
      </c>
      <c r="E6" s="2" t="s">
        <v>10</v>
      </c>
      <c r="F6" s="2">
        <v>5000</v>
      </c>
      <c r="G6" s="2">
        <v>5</v>
      </c>
      <c r="H6" s="2">
        <v>1000</v>
      </c>
      <c r="I6">
        <f t="shared" si="0"/>
        <v>0.2</v>
      </c>
      <c r="J6" s="2" t="str">
        <f t="shared" si="1"/>
        <v>Low</v>
      </c>
    </row>
    <row r="7" spans="1:10" x14ac:dyDescent="0.25">
      <c r="A7" s="2">
        <v>1006</v>
      </c>
      <c r="B7" s="3">
        <v>45297</v>
      </c>
      <c r="C7" s="2" t="s">
        <v>11</v>
      </c>
      <c r="D7" s="2" t="s">
        <v>19</v>
      </c>
      <c r="E7" s="2" t="s">
        <v>15</v>
      </c>
      <c r="F7" s="2">
        <v>25000</v>
      </c>
      <c r="G7" s="2">
        <v>1</v>
      </c>
      <c r="H7" s="2">
        <v>4000</v>
      </c>
      <c r="I7">
        <f t="shared" si="0"/>
        <v>0.16</v>
      </c>
      <c r="J7" s="2" t="str">
        <f t="shared" si="1"/>
        <v>High</v>
      </c>
    </row>
    <row r="8" spans="1:10" x14ac:dyDescent="0.25">
      <c r="A8" s="2">
        <v>1007</v>
      </c>
      <c r="B8" s="3">
        <v>45298</v>
      </c>
      <c r="C8" s="2" t="s">
        <v>13</v>
      </c>
      <c r="D8" s="2" t="s">
        <v>20</v>
      </c>
      <c r="E8" s="2" t="s">
        <v>10</v>
      </c>
      <c r="F8" s="2">
        <v>15000</v>
      </c>
      <c r="G8" s="2">
        <v>2</v>
      </c>
      <c r="H8" s="2">
        <v>3000</v>
      </c>
      <c r="I8">
        <f t="shared" si="0"/>
        <v>0.2</v>
      </c>
      <c r="J8" s="2" t="str">
        <f t="shared" si="1"/>
        <v>Low</v>
      </c>
    </row>
    <row r="9" spans="1:10" x14ac:dyDescent="0.25">
      <c r="A9" s="2">
        <v>1008</v>
      </c>
      <c r="B9" s="3">
        <v>45299</v>
      </c>
      <c r="C9" s="2" t="s">
        <v>16</v>
      </c>
      <c r="D9" s="2" t="s">
        <v>21</v>
      </c>
      <c r="E9" s="2" t="s">
        <v>10</v>
      </c>
      <c r="F9" s="2">
        <v>3000</v>
      </c>
      <c r="G9" s="2">
        <v>6</v>
      </c>
      <c r="H9" s="2">
        <v>500</v>
      </c>
      <c r="I9">
        <f t="shared" si="0"/>
        <v>0.16666666666666666</v>
      </c>
      <c r="J9" s="2" t="str">
        <f t="shared" si="1"/>
        <v>Low</v>
      </c>
    </row>
    <row r="10" spans="1:10" x14ac:dyDescent="0.25">
      <c r="A10" s="2">
        <v>1009</v>
      </c>
      <c r="B10" s="3">
        <v>45300</v>
      </c>
      <c r="C10" s="2" t="s">
        <v>8</v>
      </c>
      <c r="D10" s="2" t="s">
        <v>22</v>
      </c>
      <c r="E10" s="2" t="s">
        <v>10</v>
      </c>
      <c r="F10" s="2">
        <v>2000</v>
      </c>
      <c r="G10" s="2">
        <v>8</v>
      </c>
      <c r="H10" s="2">
        <v>400</v>
      </c>
      <c r="I10">
        <f t="shared" si="0"/>
        <v>0.2</v>
      </c>
      <c r="J10" s="2" t="str">
        <f t="shared" si="1"/>
        <v>Low</v>
      </c>
    </row>
    <row r="11" spans="1:10" x14ac:dyDescent="0.25">
      <c r="A11" s="2">
        <v>1010</v>
      </c>
      <c r="B11" s="3">
        <v>45301</v>
      </c>
      <c r="C11" s="2" t="s">
        <v>11</v>
      </c>
      <c r="D11" s="2" t="s">
        <v>23</v>
      </c>
      <c r="E11" s="2" t="s">
        <v>15</v>
      </c>
      <c r="F11" s="2">
        <v>30000</v>
      </c>
      <c r="G11" s="2">
        <v>1</v>
      </c>
      <c r="H11" s="2">
        <v>6000</v>
      </c>
      <c r="I11">
        <f t="shared" si="0"/>
        <v>0.2</v>
      </c>
      <c r="J11" s="2" t="str">
        <f t="shared" si="1"/>
        <v>High</v>
      </c>
    </row>
    <row r="12" spans="1:10" x14ac:dyDescent="0.25">
      <c r="A12" s="2">
        <v>1011</v>
      </c>
      <c r="B12" s="3">
        <v>45302</v>
      </c>
      <c r="C12" s="2" t="s">
        <v>13</v>
      </c>
      <c r="D12" s="2" t="s">
        <v>24</v>
      </c>
      <c r="E12" s="2" t="s">
        <v>10</v>
      </c>
      <c r="F12" s="2">
        <v>20000</v>
      </c>
      <c r="G12" s="2">
        <v>2</v>
      </c>
      <c r="H12" s="2">
        <v>3500</v>
      </c>
      <c r="I12">
        <f t="shared" si="0"/>
        <v>0.17499999999999999</v>
      </c>
      <c r="J12" s="2" t="str">
        <f t="shared" si="1"/>
        <v>High</v>
      </c>
    </row>
    <row r="13" spans="1:10" x14ac:dyDescent="0.25">
      <c r="A13" s="2">
        <v>1012</v>
      </c>
      <c r="B13" s="3">
        <v>45303</v>
      </c>
      <c r="C13" s="2" t="s">
        <v>16</v>
      </c>
      <c r="D13" s="2" t="s">
        <v>14</v>
      </c>
      <c r="E13" s="2" t="s">
        <v>15</v>
      </c>
      <c r="F13" s="2">
        <v>7000</v>
      </c>
      <c r="G13" s="2">
        <v>3</v>
      </c>
      <c r="H13" s="2">
        <v>1000</v>
      </c>
      <c r="I13">
        <f t="shared" si="0"/>
        <v>0.14285714285714285</v>
      </c>
      <c r="J13" s="2" t="str">
        <f t="shared" si="1"/>
        <v>Low</v>
      </c>
    </row>
    <row r="14" spans="1:10" x14ac:dyDescent="0.25">
      <c r="A14" s="2">
        <v>1013</v>
      </c>
      <c r="B14" s="3">
        <v>45304</v>
      </c>
      <c r="C14" s="2" t="s">
        <v>8</v>
      </c>
      <c r="D14" s="2" t="s">
        <v>9</v>
      </c>
      <c r="E14" s="2" t="s">
        <v>10</v>
      </c>
      <c r="F14" s="2">
        <v>60000</v>
      </c>
      <c r="G14" s="2">
        <v>2</v>
      </c>
      <c r="H14" s="2">
        <v>9000</v>
      </c>
      <c r="I14">
        <f t="shared" si="0"/>
        <v>0.15</v>
      </c>
      <c r="J14" s="2" t="str">
        <f t="shared" si="1"/>
        <v>High</v>
      </c>
    </row>
    <row r="15" spans="1:10" x14ac:dyDescent="0.25">
      <c r="A15" s="2">
        <v>1014</v>
      </c>
      <c r="B15" s="3">
        <v>45305</v>
      </c>
      <c r="C15" s="2" t="s">
        <v>11</v>
      </c>
      <c r="D15" s="2" t="s">
        <v>12</v>
      </c>
      <c r="E15" s="2" t="s">
        <v>10</v>
      </c>
      <c r="F15" s="2">
        <v>28000</v>
      </c>
      <c r="G15" s="2">
        <v>3</v>
      </c>
      <c r="H15" s="2">
        <v>4500</v>
      </c>
      <c r="I15">
        <f t="shared" si="0"/>
        <v>0.16071428571428573</v>
      </c>
      <c r="J15" s="2" t="str">
        <f t="shared" si="1"/>
        <v>High</v>
      </c>
    </row>
    <row r="16" spans="1:10" x14ac:dyDescent="0.25">
      <c r="A16" s="2">
        <v>1015</v>
      </c>
      <c r="B16" s="3">
        <v>45306</v>
      </c>
      <c r="C16" s="2" t="s">
        <v>13</v>
      </c>
      <c r="D16" s="2" t="s">
        <v>17</v>
      </c>
      <c r="E16" s="2" t="s">
        <v>15</v>
      </c>
      <c r="F16" s="2">
        <v>11000</v>
      </c>
      <c r="G16" s="2">
        <v>2</v>
      </c>
      <c r="H16" s="2">
        <v>1800</v>
      </c>
      <c r="I16">
        <f t="shared" si="0"/>
        <v>0.16363636363636364</v>
      </c>
      <c r="J16" s="2" t="str">
        <f t="shared" si="1"/>
        <v>Low</v>
      </c>
    </row>
    <row r="35" spans="1:3" x14ac:dyDescent="0.25">
      <c r="A35" t="s">
        <v>4</v>
      </c>
      <c r="B35" t="s">
        <v>31</v>
      </c>
    </row>
    <row r="36" spans="1:3" x14ac:dyDescent="0.25">
      <c r="A36" t="s">
        <v>10</v>
      </c>
      <c r="B36">
        <v>50000</v>
      </c>
      <c r="C36" t="e">
        <f>VLOOKUP(E2,$K$2:$L$3,2,FALSE)</f>
        <v>#N/A</v>
      </c>
    </row>
    <row r="37" spans="1:3" x14ac:dyDescent="0.25">
      <c r="A37" t="s">
        <v>15</v>
      </c>
      <c r="B37">
        <v>20000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M13" sqref="M13"/>
    </sheetView>
  </sheetViews>
  <sheetFormatPr defaultRowHeight="15" x14ac:dyDescent="0.25"/>
  <cols>
    <col min="1" max="1" width="13.140625" bestFit="1" customWidth="1"/>
    <col min="2" max="2" width="12.140625" customWidth="1"/>
  </cols>
  <sheetData>
    <row r="3" spans="1:2" x14ac:dyDescent="0.25">
      <c r="A3" s="4" t="s">
        <v>25</v>
      </c>
      <c r="B3" t="s">
        <v>27</v>
      </c>
    </row>
    <row r="4" spans="1:2" x14ac:dyDescent="0.25">
      <c r="A4" s="5" t="s">
        <v>11</v>
      </c>
      <c r="B4" s="6">
        <v>58000</v>
      </c>
    </row>
    <row r="5" spans="1:2" x14ac:dyDescent="0.25">
      <c r="A5" s="5" t="s">
        <v>13</v>
      </c>
      <c r="B5" s="6">
        <v>35000</v>
      </c>
    </row>
    <row r="6" spans="1:2" x14ac:dyDescent="0.25">
      <c r="A6" s="5" t="s">
        <v>16</v>
      </c>
      <c r="B6" s="6">
        <v>3000</v>
      </c>
    </row>
    <row r="7" spans="1:2" x14ac:dyDescent="0.25">
      <c r="A7" s="5" t="s">
        <v>8</v>
      </c>
      <c r="B7" s="6">
        <v>122000</v>
      </c>
    </row>
    <row r="8" spans="1:2" x14ac:dyDescent="0.25">
      <c r="A8" s="5" t="s">
        <v>26</v>
      </c>
      <c r="B8" s="6">
        <v>218000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tabSelected="1" workbookViewId="0">
      <selection activeCell="O8" sqref="O8"/>
    </sheetView>
  </sheetViews>
  <sheetFormatPr defaultRowHeight="15" x14ac:dyDescent="0.25"/>
  <cols>
    <col min="1" max="1" width="13.140625" bestFit="1" customWidth="1"/>
    <col min="2" max="2" width="12.140625" customWidth="1"/>
  </cols>
  <sheetData>
    <row r="3" spans="1:2" x14ac:dyDescent="0.25">
      <c r="A3" s="4" t="s">
        <v>25</v>
      </c>
      <c r="B3" t="s">
        <v>28</v>
      </c>
    </row>
    <row r="4" spans="1:2" x14ac:dyDescent="0.25">
      <c r="A4" s="5" t="s">
        <v>15</v>
      </c>
      <c r="B4" s="6">
        <v>16000</v>
      </c>
    </row>
    <row r="5" spans="1:2" x14ac:dyDescent="0.25">
      <c r="A5" s="5" t="s">
        <v>10</v>
      </c>
      <c r="B5" s="6">
        <v>34900</v>
      </c>
    </row>
    <row r="6" spans="1:2" x14ac:dyDescent="0.25">
      <c r="A6" s="5" t="s">
        <v>26</v>
      </c>
      <c r="B6" s="6">
        <v>50900</v>
      </c>
    </row>
    <row r="8" spans="1:2" x14ac:dyDescent="0.25">
      <c r="A8" s="4" t="s">
        <v>25</v>
      </c>
      <c r="B8" t="s">
        <v>27</v>
      </c>
    </row>
    <row r="9" spans="1:2" x14ac:dyDescent="0.25">
      <c r="A9" s="7">
        <v>45292</v>
      </c>
      <c r="B9" s="6">
        <v>55000</v>
      </c>
    </row>
    <row r="10" spans="1:2" x14ac:dyDescent="0.25">
      <c r="A10" s="7">
        <v>45293</v>
      </c>
      <c r="B10" s="6">
        <v>30000</v>
      </c>
    </row>
    <row r="11" spans="1:2" x14ac:dyDescent="0.25">
      <c r="A11" s="7">
        <v>45294</v>
      </c>
      <c r="B11" s="6">
        <v>8000</v>
      </c>
    </row>
    <row r="12" spans="1:2" x14ac:dyDescent="0.25">
      <c r="A12" s="7">
        <v>45295</v>
      </c>
      <c r="B12" s="6">
        <v>12000</v>
      </c>
    </row>
    <row r="13" spans="1:2" x14ac:dyDescent="0.25">
      <c r="A13" s="7">
        <v>45296</v>
      </c>
      <c r="B13" s="6">
        <v>5000</v>
      </c>
    </row>
    <row r="14" spans="1:2" x14ac:dyDescent="0.25">
      <c r="A14" s="7">
        <v>45297</v>
      </c>
      <c r="B14" s="6">
        <v>25000</v>
      </c>
    </row>
    <row r="15" spans="1:2" x14ac:dyDescent="0.25">
      <c r="A15" s="7">
        <v>45298</v>
      </c>
      <c r="B15" s="6">
        <v>15000</v>
      </c>
    </row>
    <row r="16" spans="1:2" x14ac:dyDescent="0.25">
      <c r="A16" s="7">
        <v>45299</v>
      </c>
      <c r="B16" s="6">
        <v>3000</v>
      </c>
    </row>
    <row r="17" spans="1:2" x14ac:dyDescent="0.25">
      <c r="A17" s="7">
        <v>45300</v>
      </c>
      <c r="B17" s="6">
        <v>2000</v>
      </c>
    </row>
    <row r="18" spans="1:2" x14ac:dyDescent="0.25">
      <c r="A18" s="7">
        <v>45301</v>
      </c>
      <c r="B18" s="6">
        <v>30000</v>
      </c>
    </row>
    <row r="19" spans="1:2" x14ac:dyDescent="0.25">
      <c r="A19" s="7">
        <v>45302</v>
      </c>
      <c r="B19" s="6">
        <v>20000</v>
      </c>
    </row>
    <row r="20" spans="1:2" x14ac:dyDescent="0.25">
      <c r="A20" s="7">
        <v>45303</v>
      </c>
      <c r="B20" s="6">
        <v>7000</v>
      </c>
    </row>
    <row r="21" spans="1:2" x14ac:dyDescent="0.25">
      <c r="A21" s="7">
        <v>45304</v>
      </c>
      <c r="B21" s="6">
        <v>60000</v>
      </c>
    </row>
    <row r="22" spans="1:2" x14ac:dyDescent="0.25">
      <c r="A22" s="7">
        <v>45305</v>
      </c>
      <c r="B22" s="6">
        <v>28000</v>
      </c>
    </row>
    <row r="23" spans="1:2" x14ac:dyDescent="0.25">
      <c r="A23" s="7">
        <v>45306</v>
      </c>
      <c r="B23" s="6">
        <v>11000</v>
      </c>
    </row>
    <row r="24" spans="1:2" x14ac:dyDescent="0.25">
      <c r="A24" s="7" t="s">
        <v>26</v>
      </c>
      <c r="B24" s="6">
        <v>311000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6" sqref="K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I10" sqref="I10"/>
    </sheetView>
  </sheetViews>
  <sheetFormatPr defaultRowHeight="15" x14ac:dyDescent="0.25"/>
  <sheetData>
    <row r="1" spans="1:1" x14ac:dyDescent="0.25">
      <c r="A1" t="s">
        <v>32</v>
      </c>
    </row>
    <row r="2" spans="1:1" x14ac:dyDescent="0.25">
      <c r="A2" t="s">
        <v>33</v>
      </c>
    </row>
    <row r="3" spans="1:1" x14ac:dyDescent="0.25">
      <c r="A3" t="s">
        <v>34</v>
      </c>
    </row>
    <row r="4" spans="1:1" x14ac:dyDescent="0.25">
      <c r="A4" t="s">
        <v>35</v>
      </c>
    </row>
    <row r="5" spans="1:1" x14ac:dyDescent="0.25">
      <c r="A5"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Pivot</vt:lpstr>
      <vt:lpstr>Sheet2</vt:lpstr>
      <vt:lpstr>Dashboard</vt:lpstr>
      <vt:lpstr>Instruction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dc:creator>
  <cp:lastModifiedBy>om</cp:lastModifiedBy>
  <dcterms:created xsi:type="dcterms:W3CDTF">2026-04-09T12:29:41Z</dcterms:created>
  <dcterms:modified xsi:type="dcterms:W3CDTF">2026-04-09T13:56:39Z</dcterms:modified>
</cp:coreProperties>
</file>